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livery-delay-analysis\excel\"/>
    </mc:Choice>
  </mc:AlternateContent>
  <xr:revisionPtr revIDLastSave="0" documentId="13_ncr:1_{704CE0FA-3EF1-438B-88FA-113A4587B450}" xr6:coauthVersionLast="47" xr6:coauthVersionMax="47" xr10:uidLastSave="{00000000-0000-0000-0000-000000000000}"/>
  <bookViews>
    <workbookView xWindow="-108" yWindow="-108" windowWidth="23256" windowHeight="12456" activeTab="3" xr2:uid="{79C8246C-DEC6-4B99-818E-279303D21791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G2" i="3"/>
</calcChain>
</file>

<file path=xl/sharedStrings.xml><?xml version="1.0" encoding="utf-8"?>
<sst xmlns="http://schemas.openxmlformats.org/spreadsheetml/2006/main" count="122" uniqueCount="33">
  <si>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</si>
  <si>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</si>
  <si>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</si>
  <si>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</si>
  <si>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</si>
  <si>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</si>
  <si>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</si>
  <si>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</si>
  <si>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</si>
  <si>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</si>
  <si>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</si>
  <si>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</si>
  <si>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</si>
  <si>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</si>
  <si>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</si>
  <si>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</si>
  <si>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Before row count: 13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</si>
  <si>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</si>
  <si>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</si>
  <si>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</si>
  <si>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</si>
  <si>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</si>
  <si>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</si>
  <si>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</si>
  <si>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</si>
  <si>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>After Removing Duplicates: 12</t>
  </si>
  <si>
    <t>delay_days</t>
  </si>
  <si>
    <t>Hub</t>
  </si>
  <si>
    <t>Total Delay Days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</si>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</sst>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Delay Days by Service Type and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Summary!$B$9:$B$10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Summary!$B$11:$B$13</c:f>
              <c:numCache>
                <c:formatCode>0.00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0-41DA-B8A8-7CFD3AAC8E20}"/>
            </c:ext>
          </c:extLst>
        </c:ser>
        <c:ser>
          <c:idx val="1"/>
          <c:order val="1"/>
          <c:tx>
            <c:strRef>
              <c:f>Summary!$C$9:$C$10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Summary!$C$11:$C$13</c:f>
              <c:numCache>
                <c:formatCode>0.00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0-41DA-B8A8-7CFD3AAC8E20}"/>
            </c:ext>
          </c:extLst>
        </c:ser>
        <c:ser>
          <c:idx val="2"/>
          <c:order val="2"/>
          <c:tx>
            <c:strRef>
              <c:f>Summary!$D$9:$D$10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Summary!$A$11:$A$13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Summary!$D$11:$D$13</c:f>
              <c:numCache>
                <c:formatCode>0.00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0-41DA-B8A8-7CFD3AAC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6687583"/>
        <c:axId val="1521547855"/>
      </c:barChart>
      <c:catAx>
        <c:axId val="157668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47855"/>
        <c:crosses val="autoZero"/>
        <c:auto val="1"/>
        <c:lblAlgn val="ctr"/>
        <c:lblOffset val="100"/>
        <c:noMultiLvlLbl val="0"/>
      </c:catAx>
      <c:valAx>
        <c:axId val="152154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68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5</xdr:row>
      <xdr:rowOff>179070</xdr:rowOff>
    </xdr:from>
    <xdr:to>
      <xdr:col>13</xdr:col>
      <xdr:colOff>220980</xdr:colOff>
      <xdr:row>20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CFADC4-BA3A-D7A0-1616-883E4C0B6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1.808965625001" createdVersion="8" refreshedVersion="8" minRefreshableVersion="3" recordCount="12" xr:uid="{F33574A5-3C05-4F3C-A39F-03B229514B79}">
  <cacheSource type="worksheet">
    <worksheetSource ref="A1:H13" sheet="Clean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49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2">
      <sharedItems containsSemiMixedTypes="0" containsString="0" containsNumber="1" containsInteger="1" minValue="2" maxValue="6"/>
    </cacheField>
    <cacheField name="actual_days" numFmtId="2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2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1808E-3097-4556-9D42-17780D7342D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E13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axis="axisRow" showAll="0">
      <items count="3">
        <item x="0"/>
        <item x="1"/>
        <item t="default"/>
      </items>
    </pivotField>
    <pivotField dataField="1" numFmtId="2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 numFmtId="2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0EBB-9A12-4996-ABB6-F83D0DC096A0}">
  <dimension ref="A1:F18"/>
  <sheetViews>
    <sheetView workbookViewId="0">
      <selection activeCell="C18" sqref="C18"/>
    </sheetView>
  </sheetViews>
  <sheetFormatPr defaultRowHeight="14.4" x14ac:dyDescent="0.3"/>
  <cols>
    <col min="1" max="1" width="8.77734375" bestFit="1" customWidth="1"/>
    <col min="2" max="2" width="6.33203125" bestFit="1" customWidth="1"/>
    <col min="3" max="3" width="7.88671875" bestFit="1" customWidth="1"/>
    <col min="4" max="4" width="7.6640625" bestFit="1" customWidth="1"/>
    <col min="5" max="5" width="13.33203125" bestFit="1" customWidth="1"/>
    <col min="6" max="6" width="10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</v>
      </c>
      <c r="F2">
        <v>2</v>
      </c>
    </row>
    <row r="3" spans="1:6" x14ac:dyDescent="0.3">
      <c r="A3">
        <v>2</v>
      </c>
      <c r="B3" t="s">
        <v>6</v>
      </c>
      <c r="C3" t="s">
        <v>9</v>
      </c>
      <c r="D3" t="s">
        <v>10</v>
      </c>
      <c r="E3">
        <v>3</v>
      </c>
      <c r="F3">
        <v>4</v>
      </c>
    </row>
    <row r="4" spans="1:6" x14ac:dyDescent="0.3">
      <c r="A4">
        <v>3</v>
      </c>
      <c r="B4" t="s">
        <v>6</v>
      </c>
      <c r="C4" t="s">
        <v>11</v>
      </c>
      <c r="D4" t="s">
        <v>12</v>
      </c>
      <c r="E4">
        <v>5</v>
      </c>
      <c r="F4">
        <v>8</v>
      </c>
    </row>
    <row r="5" spans="1:6" x14ac:dyDescent="0.3">
      <c r="A5">
        <v>4</v>
      </c>
      <c r="B5" t="s">
        <v>6</v>
      </c>
      <c r="C5" t="s">
        <v>13</v>
      </c>
      <c r="D5" t="s">
        <v>8</v>
      </c>
      <c r="E5">
        <v>6</v>
      </c>
      <c r="F5">
        <v>10</v>
      </c>
    </row>
    <row r="6" spans="1:6" x14ac:dyDescent="0.3">
      <c r="A6">
        <v>5</v>
      </c>
      <c r="B6" t="s">
        <v>14</v>
      </c>
      <c r="C6" t="s">
        <v>7</v>
      </c>
      <c r="D6" t="s">
        <v>10</v>
      </c>
      <c r="E6">
        <v>2</v>
      </c>
      <c r="F6">
        <v>5</v>
      </c>
    </row>
    <row r="7" spans="1:6" x14ac:dyDescent="0.3">
      <c r="A7">
        <v>6</v>
      </c>
      <c r="B7" t="s">
        <v>14</v>
      </c>
      <c r="C7" t="s">
        <v>9</v>
      </c>
      <c r="D7" t="s">
        <v>12</v>
      </c>
      <c r="E7">
        <v>3</v>
      </c>
      <c r="F7">
        <v>3</v>
      </c>
    </row>
    <row r="8" spans="1:6" x14ac:dyDescent="0.3">
      <c r="A8">
        <v>7</v>
      </c>
      <c r="B8" t="s">
        <v>14</v>
      </c>
      <c r="C8" t="s">
        <v>11</v>
      </c>
      <c r="D8" t="s">
        <v>12</v>
      </c>
      <c r="E8">
        <v>5</v>
      </c>
      <c r="F8">
        <v>10</v>
      </c>
    </row>
    <row r="9" spans="1:6" x14ac:dyDescent="0.3">
      <c r="A9">
        <v>8</v>
      </c>
      <c r="B9" t="s">
        <v>14</v>
      </c>
      <c r="C9" t="s">
        <v>13</v>
      </c>
      <c r="D9" t="s">
        <v>10</v>
      </c>
      <c r="E9">
        <v>6</v>
      </c>
      <c r="F9">
        <v>7</v>
      </c>
    </row>
    <row r="10" spans="1:6" x14ac:dyDescent="0.3">
      <c r="A10">
        <v>9</v>
      </c>
      <c r="B10" t="s">
        <v>15</v>
      </c>
      <c r="C10" t="s">
        <v>7</v>
      </c>
      <c r="D10" t="s">
        <v>12</v>
      </c>
      <c r="E10">
        <v>2</v>
      </c>
      <c r="F10">
        <v>8</v>
      </c>
    </row>
    <row r="11" spans="1:6" x14ac:dyDescent="0.3">
      <c r="A11">
        <v>10</v>
      </c>
      <c r="B11" t="s">
        <v>15</v>
      </c>
      <c r="C11" t="s">
        <v>9</v>
      </c>
      <c r="D11" t="s">
        <v>8</v>
      </c>
      <c r="E11">
        <v>3</v>
      </c>
      <c r="F11">
        <v>5</v>
      </c>
    </row>
    <row r="12" spans="1:6" x14ac:dyDescent="0.3">
      <c r="A12">
        <v>11</v>
      </c>
      <c r="B12" t="s">
        <v>15</v>
      </c>
      <c r="C12" t="s">
        <v>11</v>
      </c>
      <c r="D12" t="s">
        <v>10</v>
      </c>
      <c r="E12">
        <v>5</v>
      </c>
      <c r="F12">
        <v>5</v>
      </c>
    </row>
    <row r="13" spans="1:6" x14ac:dyDescent="0.3">
      <c r="A13">
        <v>12</v>
      </c>
      <c r="B13" t="s">
        <v>15</v>
      </c>
      <c r="C13" t="s">
        <v>13</v>
      </c>
      <c r="D13" t="s">
        <v>8</v>
      </c>
      <c r="E13">
        <v>6</v>
      </c>
      <c r="F13">
        <v>15</v>
      </c>
    </row>
    <row r="14" spans="1:6" x14ac:dyDescent="0.3">
      <c r="A14">
        <v>12</v>
      </c>
      <c r="B14" t="s">
        <v>15</v>
      </c>
      <c r="C14" t="s">
        <v>13</v>
      </c>
      <c r="D14" t="s">
        <v>8</v>
      </c>
      <c r="E14">
        <v>6</v>
      </c>
      <c r="F14">
        <v>15</v>
      </c>
    </row>
    <row r="18" spans="3:3" x14ac:dyDescent="0.3">
      <c r="C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669B-C870-4AD9-8FCE-0E27BB77F5C6}">
  <dimension ref="A1:C5"/>
  <sheetViews>
    <sheetView workbookViewId="0">
      <selection activeCell="D2" sqref="D2"/>
    </sheetView>
  </sheetViews>
  <sheetFormatPr defaultRowHeight="14.4" x14ac:dyDescent="0.3"/>
  <cols>
    <col min="2" max="2" width="14" bestFit="1" customWidth="1"/>
    <col min="3" max="3" width="11.21875" bestFit="1" customWidth="1"/>
  </cols>
  <sheetData>
    <row r="1" spans="1:3" x14ac:dyDescent="0.3">
      <c r="A1" s="1" t="s">
        <v>2</v>
      </c>
      <c r="B1" s="1" t="s">
        <v>17</v>
      </c>
      <c r="C1" s="1" t="s">
        <v>18</v>
      </c>
    </row>
    <row r="2" spans="1:3" x14ac:dyDescent="0.3">
      <c r="A2" t="s">
        <v>7</v>
      </c>
      <c r="B2" t="s">
        <v>19</v>
      </c>
      <c r="C2" t="s">
        <v>20</v>
      </c>
    </row>
    <row r="3" spans="1:3" x14ac:dyDescent="0.3">
      <c r="A3" t="s">
        <v>9</v>
      </c>
      <c r="B3" t="s">
        <v>21</v>
      </c>
      <c r="C3" t="s">
        <v>20</v>
      </c>
    </row>
    <row r="4" spans="1:3" x14ac:dyDescent="0.3">
      <c r="A4" t="s">
        <v>11</v>
      </c>
      <c r="B4" t="s">
        <v>22</v>
      </c>
      <c r="C4" t="s">
        <v>23</v>
      </c>
    </row>
    <row r="5" spans="1:3" x14ac:dyDescent="0.3">
      <c r="A5" t="s">
        <v>13</v>
      </c>
      <c r="B5" t="s">
        <v>24</v>
      </c>
      <c r="C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DD5C-45DA-4CD4-8CFC-0F044F46781F}">
  <dimension ref="A1:H18"/>
  <sheetViews>
    <sheetView workbookViewId="0">
      <selection activeCell="J20" sqref="J20"/>
    </sheetView>
  </sheetViews>
  <sheetFormatPr defaultRowHeight="14.4" x14ac:dyDescent="0.3"/>
  <cols>
    <col min="5" max="5" width="13.88671875" bestFit="1" customWidth="1"/>
    <col min="6" max="6" width="11" bestFit="1" customWidth="1"/>
    <col min="7" max="7" width="11.5546875" bestFit="1" customWidth="1"/>
    <col min="8" max="8" width="10.44140625" bestFit="1" customWidth="1"/>
  </cols>
  <sheetData>
    <row r="1" spans="1:8" x14ac:dyDescent="0.3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18</v>
      </c>
      <c r="H1" s="1" t="s">
        <v>26</v>
      </c>
    </row>
    <row r="2" spans="1:8" x14ac:dyDescent="0.3">
      <c r="A2">
        <v>1</v>
      </c>
      <c r="B2" s="5" t="s">
        <v>6</v>
      </c>
      <c r="C2" t="s">
        <v>7</v>
      </c>
      <c r="D2" t="s">
        <v>8</v>
      </c>
      <c r="E2" s="3">
        <v>2</v>
      </c>
      <c r="F2" s="3">
        <v>2</v>
      </c>
      <c r="G2" t="str">
        <f>_xlfn.XLOOKUP(C2,Lookup!$A$2:$A$5,Lookup!$C$2:$C$5)</f>
        <v>Express</v>
      </c>
      <c r="H2" s="3">
        <f>MAX(F2-E2,0)</f>
        <v>0</v>
      </c>
    </row>
    <row r="3" spans="1:8" x14ac:dyDescent="0.3">
      <c r="A3">
        <v>2</v>
      </c>
      <c r="B3" s="5" t="s">
        <v>6</v>
      </c>
      <c r="C3" t="s">
        <v>9</v>
      </c>
      <c r="D3" t="s">
        <v>10</v>
      </c>
      <c r="E3" s="3">
        <v>3</v>
      </c>
      <c r="F3" s="3">
        <v>4</v>
      </c>
      <c r="G3" t="str">
        <f>_xlfn.XLOOKUP(C3,Lookup!$A$2:$A$5,Lookup!$C$2:$C$5)</f>
        <v>Express</v>
      </c>
      <c r="H3" s="3">
        <f t="shared" ref="H3:H13" si="0">MAX(F3-E3,0)</f>
        <v>1</v>
      </c>
    </row>
    <row r="4" spans="1:8" x14ac:dyDescent="0.3">
      <c r="A4">
        <v>3</v>
      </c>
      <c r="B4" s="5" t="s">
        <v>6</v>
      </c>
      <c r="C4" t="s">
        <v>11</v>
      </c>
      <c r="D4" t="s">
        <v>12</v>
      </c>
      <c r="E4" s="3">
        <v>5</v>
      </c>
      <c r="F4" s="3">
        <v>8</v>
      </c>
      <c r="G4" t="str">
        <f>_xlfn.XLOOKUP(C4,Lookup!$A$2:$A$5,Lookup!$C$2:$C$5)</f>
        <v>Standard</v>
      </c>
      <c r="H4" s="3">
        <f t="shared" si="0"/>
        <v>3</v>
      </c>
    </row>
    <row r="5" spans="1:8" x14ac:dyDescent="0.3">
      <c r="A5">
        <v>4</v>
      </c>
      <c r="B5" s="5" t="s">
        <v>6</v>
      </c>
      <c r="C5" t="s">
        <v>13</v>
      </c>
      <c r="D5" t="s">
        <v>8</v>
      </c>
      <c r="E5" s="3">
        <v>6</v>
      </c>
      <c r="F5" s="3">
        <v>10</v>
      </c>
      <c r="G5" t="str">
        <f>_xlfn.XLOOKUP(C5,Lookup!$A$2:$A$5,Lookup!$C$2:$C$5)</f>
        <v>Standard</v>
      </c>
      <c r="H5" s="3">
        <f t="shared" si="0"/>
        <v>4</v>
      </c>
    </row>
    <row r="6" spans="1:8" x14ac:dyDescent="0.3">
      <c r="A6">
        <v>5</v>
      </c>
      <c r="B6" s="5" t="s">
        <v>14</v>
      </c>
      <c r="C6" t="s">
        <v>7</v>
      </c>
      <c r="D6" t="s">
        <v>10</v>
      </c>
      <c r="E6" s="3">
        <v>2</v>
      </c>
      <c r="F6" s="3">
        <v>5</v>
      </c>
      <c r="G6" t="str">
        <f>_xlfn.XLOOKUP(C6,Lookup!$A$2:$A$5,Lookup!$C$2:$C$5)</f>
        <v>Express</v>
      </c>
      <c r="H6" s="3">
        <f t="shared" si="0"/>
        <v>3</v>
      </c>
    </row>
    <row r="7" spans="1:8" x14ac:dyDescent="0.3">
      <c r="A7">
        <v>6</v>
      </c>
      <c r="B7" s="5" t="s">
        <v>14</v>
      </c>
      <c r="C7" t="s">
        <v>9</v>
      </c>
      <c r="D7" t="s">
        <v>12</v>
      </c>
      <c r="E7" s="3">
        <v>3</v>
      </c>
      <c r="F7" s="3">
        <v>3</v>
      </c>
      <c r="G7" t="str">
        <f>_xlfn.XLOOKUP(C7,Lookup!$A$2:$A$5,Lookup!$C$2:$C$5)</f>
        <v>Express</v>
      </c>
      <c r="H7" s="3">
        <f t="shared" si="0"/>
        <v>0</v>
      </c>
    </row>
    <row r="8" spans="1:8" x14ac:dyDescent="0.3">
      <c r="A8">
        <v>7</v>
      </c>
      <c r="B8" s="5" t="s">
        <v>14</v>
      </c>
      <c r="C8" t="s">
        <v>11</v>
      </c>
      <c r="D8" t="s">
        <v>12</v>
      </c>
      <c r="E8" s="3">
        <v>5</v>
      </c>
      <c r="F8" s="3">
        <v>10</v>
      </c>
      <c r="G8" t="str">
        <f>_xlfn.XLOOKUP(C8,Lookup!$A$2:$A$5,Lookup!$C$2:$C$5)</f>
        <v>Standard</v>
      </c>
      <c r="H8" s="3">
        <f t="shared" si="0"/>
        <v>5</v>
      </c>
    </row>
    <row r="9" spans="1:8" x14ac:dyDescent="0.3">
      <c r="A9">
        <v>8</v>
      </c>
      <c r="B9" s="5" t="s">
        <v>14</v>
      </c>
      <c r="C9" t="s">
        <v>13</v>
      </c>
      <c r="D9" t="s">
        <v>10</v>
      </c>
      <c r="E9" s="3">
        <v>6</v>
      </c>
      <c r="F9" s="3">
        <v>7</v>
      </c>
      <c r="G9" t="str">
        <f>_xlfn.XLOOKUP(C9,Lookup!$A$2:$A$5,Lookup!$C$2:$C$5)</f>
        <v>Standard</v>
      </c>
      <c r="H9" s="3">
        <f t="shared" si="0"/>
        <v>1</v>
      </c>
    </row>
    <row r="10" spans="1:8" x14ac:dyDescent="0.3">
      <c r="A10">
        <v>9</v>
      </c>
      <c r="B10" s="5" t="s">
        <v>15</v>
      </c>
      <c r="C10" t="s">
        <v>7</v>
      </c>
      <c r="D10" t="s">
        <v>12</v>
      </c>
      <c r="E10" s="3">
        <v>2</v>
      </c>
      <c r="F10" s="3">
        <v>8</v>
      </c>
      <c r="G10" t="str">
        <f>_xlfn.XLOOKUP(C10,Lookup!$A$2:$A$5,Lookup!$C$2:$C$5)</f>
        <v>Express</v>
      </c>
      <c r="H10" s="3">
        <f t="shared" si="0"/>
        <v>6</v>
      </c>
    </row>
    <row r="11" spans="1:8" x14ac:dyDescent="0.3">
      <c r="A11">
        <v>10</v>
      </c>
      <c r="B11" s="5" t="s">
        <v>15</v>
      </c>
      <c r="C11" t="s">
        <v>9</v>
      </c>
      <c r="D11" t="s">
        <v>8</v>
      </c>
      <c r="E11" s="3">
        <v>3</v>
      </c>
      <c r="F11" s="3">
        <v>5</v>
      </c>
      <c r="G11" t="str">
        <f>_xlfn.XLOOKUP(C11,Lookup!$A$2:$A$5,Lookup!$C$2:$C$5)</f>
        <v>Express</v>
      </c>
      <c r="H11" s="3">
        <f t="shared" si="0"/>
        <v>2</v>
      </c>
    </row>
    <row r="12" spans="1:8" x14ac:dyDescent="0.3">
      <c r="A12">
        <v>11</v>
      </c>
      <c r="B12" s="5" t="s">
        <v>15</v>
      </c>
      <c r="C12" t="s">
        <v>11</v>
      </c>
      <c r="D12" t="s">
        <v>10</v>
      </c>
      <c r="E12" s="3">
        <v>5</v>
      </c>
      <c r="F12" s="3">
        <v>5</v>
      </c>
      <c r="G12" t="str">
        <f>_xlfn.XLOOKUP(C12,Lookup!$A$2:$A$5,Lookup!$C$2:$C$5)</f>
        <v>Standard</v>
      </c>
      <c r="H12" s="3">
        <f t="shared" si="0"/>
        <v>0</v>
      </c>
    </row>
    <row r="13" spans="1:8" x14ac:dyDescent="0.3">
      <c r="A13">
        <v>12</v>
      </c>
      <c r="B13" s="5" t="s">
        <v>15</v>
      </c>
      <c r="C13" t="s">
        <v>13</v>
      </c>
      <c r="D13" t="s">
        <v>8</v>
      </c>
      <c r="E13" s="3">
        <v>6</v>
      </c>
      <c r="F13" s="3">
        <v>15</v>
      </c>
      <c r="G13" t="str">
        <f>_xlfn.XLOOKUP(C13,Lookup!$A$2:$A$5,Lookup!$C$2:$C$5)</f>
        <v>Standard</v>
      </c>
      <c r="H13" s="3">
        <f t="shared" si="0"/>
        <v>9</v>
      </c>
    </row>
    <row r="17" spans="3:3" x14ac:dyDescent="0.3">
      <c r="C17" t="s">
        <v>16</v>
      </c>
    </row>
    <row r="18" spans="3:3" x14ac:dyDescent="0.3">
      <c r="C1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365-E77B-4E91-87B0-249448E17BA4}">
  <dimension ref="A1:E13"/>
  <sheetViews>
    <sheetView tabSelected="1" workbookViewId="0">
      <selection activeCell="I23" sqref="I23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4.5546875" bestFit="1" customWidth="1"/>
    <col min="4" max="4" width="5.5546875" bestFit="1" customWidth="1"/>
    <col min="5" max="5" width="10.77734375" bestFit="1" customWidth="1"/>
  </cols>
  <sheetData>
    <row r="1" spans="1:5" x14ac:dyDescent="0.3">
      <c r="A1" t="s">
        <v>27</v>
      </c>
      <c r="B1" t="s">
        <v>28</v>
      </c>
    </row>
    <row r="2" spans="1:5" x14ac:dyDescent="0.3">
      <c r="A2" t="s">
        <v>10</v>
      </c>
      <c r="B2">
        <f>SUMIFS(Clean!$H$2:$H$13,Clean!$D$2:$D$13,A2)</f>
        <v>5</v>
      </c>
    </row>
    <row r="3" spans="1:5" x14ac:dyDescent="0.3">
      <c r="A3" t="s">
        <v>12</v>
      </c>
      <c r="B3">
        <f>SUMIFS(Clean!$H$2:$H$13,Clean!$D$2:$D$13,A3)</f>
        <v>14</v>
      </c>
    </row>
    <row r="4" spans="1:5" x14ac:dyDescent="0.3">
      <c r="A4" t="s">
        <v>8</v>
      </c>
      <c r="B4">
        <f>SUMIFS(Clean!$H$2:$H$13,Clean!$D$2:$D$13,A4)</f>
        <v>15</v>
      </c>
    </row>
    <row r="9" spans="1:5" x14ac:dyDescent="0.3">
      <c r="A9" s="6" t="s">
        <v>32</v>
      </c>
      <c r="B9" s="6" t="s">
        <v>31</v>
      </c>
    </row>
    <row r="10" spans="1:5" x14ac:dyDescent="0.3">
      <c r="A10" s="6" t="s">
        <v>29</v>
      </c>
      <c r="B10" t="s">
        <v>6</v>
      </c>
      <c r="C10" t="s">
        <v>14</v>
      </c>
      <c r="D10" t="s">
        <v>15</v>
      </c>
      <c r="E10" t="s">
        <v>30</v>
      </c>
    </row>
    <row r="11" spans="1:5" x14ac:dyDescent="0.3">
      <c r="A11" s="7" t="s">
        <v>20</v>
      </c>
      <c r="B11" s="3">
        <v>1</v>
      </c>
      <c r="C11" s="3">
        <v>3</v>
      </c>
      <c r="D11" s="3">
        <v>8</v>
      </c>
      <c r="E11" s="3">
        <v>12</v>
      </c>
    </row>
    <row r="12" spans="1:5" x14ac:dyDescent="0.3">
      <c r="A12" s="7" t="s">
        <v>23</v>
      </c>
      <c r="B12" s="3">
        <v>7</v>
      </c>
      <c r="C12" s="3">
        <v>6</v>
      </c>
      <c r="D12" s="3">
        <v>9</v>
      </c>
      <c r="E12" s="3">
        <v>22</v>
      </c>
    </row>
    <row r="13" spans="1:5" x14ac:dyDescent="0.3">
      <c r="A13" s="7" t="s">
        <v>30</v>
      </c>
      <c r="B13" s="3">
        <v>8</v>
      </c>
      <c r="C13" s="3">
        <v>9</v>
      </c>
      <c r="D13" s="3">
        <v>17</v>
      </c>
      <c r="E13" s="3">
        <v>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ayushigabani@gmail.com</dc:creator>
  <cp:lastModifiedBy>ayushigabani@gmail.com</cp:lastModifiedBy>
  <dcterms:created xsi:type="dcterms:W3CDTF">2026-09-26T13:26:38Z</dcterms:created>
  <dcterms:modified xsi:type="dcterms:W3CDTF">2026-09-26T13:57:48Z</dcterms:modified>
</cp:coreProperties>
</file>